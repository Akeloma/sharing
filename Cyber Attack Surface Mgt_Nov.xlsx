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F8AX8LG\Downloads\"/>
    </mc:Choice>
  </mc:AlternateContent>
  <xr:revisionPtr revIDLastSave="0" documentId="8_{9371D670-5516-4EA1-A47D-F9918F578C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0 Nov extraction (Final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I3" i="3"/>
  <c r="F3" i="3"/>
  <c r="F2" i="3"/>
  <c r="I2" i="3"/>
  <c r="I9" i="3"/>
  <c r="I4" i="3"/>
  <c r="I5" i="3"/>
  <c r="I6" i="3"/>
  <c r="I7" i="3"/>
  <c r="I8" i="3"/>
  <c r="F8" i="3"/>
  <c r="F7" i="3"/>
  <c r="F6" i="3"/>
  <c r="F5" i="3"/>
  <c r="F4" i="3"/>
</calcChain>
</file>

<file path=xl/sharedStrings.xml><?xml version="1.0" encoding="utf-8"?>
<sst xmlns="http://schemas.openxmlformats.org/spreadsheetml/2006/main" count="16" uniqueCount="16">
  <si>
    <t>OE</t>
  </si>
  <si>
    <t>China Holding</t>
  </si>
  <si>
    <t xml:space="preserve">Malaysia </t>
  </si>
  <si>
    <t>Philippines - L&amp;H</t>
  </si>
  <si>
    <t>Singapore</t>
  </si>
  <si>
    <t xml:space="preserve">Sri Lanka </t>
  </si>
  <si>
    <t>Taiwan - Life</t>
  </si>
  <si>
    <t>Thailand</t>
  </si>
  <si>
    <t xml:space="preserve">Indonesia </t>
  </si>
  <si>
    <t xml:space="preserve">Baseline as at 31 December 2024 </t>
  </si>
  <si>
    <t>Expected target count by 31 December 2025</t>
  </si>
  <si>
    <t>% Reduction needed</t>
  </si>
  <si>
    <t>Remaining Reduction Needed</t>
  </si>
  <si>
    <t>31 Aug count</t>
  </si>
  <si>
    <t>Difference</t>
  </si>
  <si>
    <t>Latest count as at 30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</si>
</sst>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9" fontId="0" fillId="0" borderId="1" xfId="0" applyNumberFormat="1" applyBorder="1"/>
    <xf numFmtId="49" fontId="1" fillId="0" borderId="1" xfId="0" applyNumberFormat="1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7EDF-6B35-459D-AE7B-EACB12FD0DBC}">
  <dimension ref="A1:I9"/>
  <sheetViews>
    <sheetView tabSelected="1" zoomScale="153" zoomScaleNormal="160" workbookViewId="0">
      <selection activeCell="B5" sqref="B5"/>
    </sheetView>
  </sheetViews>
  <sheetFormatPr defaultRowHeight="14.5" x14ac:dyDescent="0.35"/>
  <cols>
    <col min="1" max="1" width="12" style="1" bestFit="1" customWidth="1"/>
    <col min="2" max="4" width="12.6328125" customWidth="1"/>
    <col min="5" max="5" width="11.453125" customWidth="1"/>
    <col min="6" max="6" width="12.6328125" customWidth="1"/>
    <col min="7" max="7" width="8.7265625" hidden="1" customWidth="1"/>
    <col min="8" max="8" width="12.54296875" hidden="1" customWidth="1"/>
    <col min="9" max="9" width="16.7265625" hidden="1" customWidth="1"/>
  </cols>
  <sheetData>
    <row r="1" spans="1:9" s="1" customFormat="1" ht="72.5" x14ac:dyDescent="0.35">
      <c r="A1" s="2" t="s">
        <v>0</v>
      </c>
      <c r="B1" s="6" t="s">
        <v>9</v>
      </c>
      <c r="C1" s="2" t="s">
        <v>15</v>
      </c>
      <c r="D1" s="2" t="s">
        <v>10</v>
      </c>
      <c r="E1" s="2" t="s">
        <v>11</v>
      </c>
      <c r="F1" s="7" t="s">
        <v>12</v>
      </c>
      <c r="G1" s="3"/>
      <c r="H1" s="2" t="s">
        <v>13</v>
      </c>
      <c r="I1" s="2" t="s">
        <v>14</v>
      </c>
    </row>
    <row r="2" spans="1:9" x14ac:dyDescent="0.35">
      <c r="A2" s="3" t="s">
        <v>1</v>
      </c>
      <c r="B2" s="4">
        <v>20896</v>
      </c>
      <c r="C2" s="4">
        <v>5078</v>
      </c>
      <c r="D2" s="4">
        <v>4179</v>
      </c>
      <c r="E2" s="5">
        <v>0.8</v>
      </c>
      <c r="F2" s="4">
        <f>C2-D2</f>
        <v>899</v>
      </c>
      <c r="G2" s="4"/>
      <c r="H2" s="8">
        <v>5926</v>
      </c>
      <c r="I2" s="4">
        <f>C2-H2</f>
        <v>-848</v>
      </c>
    </row>
    <row r="3" spans="1:9" x14ac:dyDescent="0.35">
      <c r="A3" s="10" t="s">
        <v>8</v>
      </c>
      <c r="B3" s="4">
        <v>57427</v>
      </c>
      <c r="C3" s="9">
        <v>12659</v>
      </c>
      <c r="D3" s="4">
        <v>11486</v>
      </c>
      <c r="E3" s="5">
        <v>0.8</v>
      </c>
      <c r="F3" s="4">
        <f>C3-D3</f>
        <v>1173</v>
      </c>
      <c r="G3" s="4"/>
      <c r="H3" s="8">
        <v>22798</v>
      </c>
      <c r="I3" s="9">
        <f>C3-H3</f>
        <v>-10139</v>
      </c>
    </row>
    <row r="4" spans="1:9" x14ac:dyDescent="0.35">
      <c r="A4" s="3" t="s">
        <v>2</v>
      </c>
      <c r="B4" s="4">
        <v>12980</v>
      </c>
      <c r="C4" s="4">
        <v>4972</v>
      </c>
      <c r="D4" s="4">
        <v>2596</v>
      </c>
      <c r="E4" s="5">
        <v>0.8</v>
      </c>
      <c r="F4" s="4">
        <f t="shared" ref="F4:F8" si="0">C4-D4</f>
        <v>2376</v>
      </c>
      <c r="G4" s="4"/>
      <c r="H4" s="8">
        <v>4797</v>
      </c>
      <c r="I4" s="4">
        <f t="shared" ref="I4:I8" si="1">C4-H4</f>
        <v>175</v>
      </c>
    </row>
    <row r="5" spans="1:9" ht="29" x14ac:dyDescent="0.35">
      <c r="A5" s="10" t="s">
        <v>3</v>
      </c>
      <c r="B5" s="4">
        <v>65058</v>
      </c>
      <c r="C5" s="9">
        <v>19835</v>
      </c>
      <c r="D5" s="4">
        <v>13010</v>
      </c>
      <c r="E5" s="5">
        <v>0.8</v>
      </c>
      <c r="F5" s="4">
        <f t="shared" si="0"/>
        <v>6825</v>
      </c>
      <c r="G5" s="4"/>
      <c r="H5" s="8">
        <v>33811</v>
      </c>
      <c r="I5" s="4">
        <f t="shared" si="1"/>
        <v>-13976</v>
      </c>
    </row>
    <row r="6" spans="1:9" x14ac:dyDescent="0.35">
      <c r="A6" s="3" t="s">
        <v>4</v>
      </c>
      <c r="B6" s="4">
        <v>755</v>
      </c>
      <c r="C6" s="4">
        <v>67</v>
      </c>
      <c r="D6" s="4">
        <v>150</v>
      </c>
      <c r="E6" s="5">
        <v>0.8</v>
      </c>
      <c r="F6" s="4">
        <f t="shared" si="0"/>
        <v>-83</v>
      </c>
      <c r="G6" s="4"/>
      <c r="H6" s="8">
        <v>271</v>
      </c>
      <c r="I6" s="4">
        <f t="shared" si="1"/>
        <v>-204</v>
      </c>
    </row>
    <row r="7" spans="1:9" x14ac:dyDescent="0.35">
      <c r="A7" s="10" t="s">
        <v>5</v>
      </c>
      <c r="B7" s="4">
        <v>24442</v>
      </c>
      <c r="C7" s="9">
        <v>5715</v>
      </c>
      <c r="D7" s="4">
        <v>4889</v>
      </c>
      <c r="E7" s="5">
        <v>0.8</v>
      </c>
      <c r="F7" s="4">
        <f t="shared" si="0"/>
        <v>826</v>
      </c>
      <c r="G7" s="4"/>
      <c r="H7" s="8">
        <v>9336</v>
      </c>
      <c r="I7" s="9">
        <f t="shared" si="1"/>
        <v>-3621</v>
      </c>
    </row>
    <row r="8" spans="1:9" x14ac:dyDescent="0.35">
      <c r="A8" s="3" t="s">
        <v>6</v>
      </c>
      <c r="B8" s="4">
        <v>21474</v>
      </c>
      <c r="C8" s="4">
        <v>2553</v>
      </c>
      <c r="D8" s="4">
        <v>4294</v>
      </c>
      <c r="E8" s="5">
        <v>0.8</v>
      </c>
      <c r="F8" s="4">
        <f t="shared" si="0"/>
        <v>-1741</v>
      </c>
      <c r="G8" s="4"/>
      <c r="H8" s="8">
        <v>14431</v>
      </c>
      <c r="I8" s="4">
        <f t="shared" si="1"/>
        <v>-11878</v>
      </c>
    </row>
    <row r="9" spans="1:9" x14ac:dyDescent="0.35">
      <c r="A9" s="10" t="s">
        <v>7</v>
      </c>
      <c r="B9" s="4">
        <v>42594</v>
      </c>
      <c r="C9" s="9">
        <v>11688</v>
      </c>
      <c r="D9" s="4">
        <v>8519</v>
      </c>
      <c r="E9" s="5">
        <v>0.8</v>
      </c>
      <c r="F9" s="4">
        <f>C9-D9</f>
        <v>3169</v>
      </c>
      <c r="G9" s="4"/>
      <c r="H9" s="8">
        <v>11621</v>
      </c>
      <c r="I9" s="9">
        <f>C9-H9</f>
        <v>67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5a35d997-f817-42cb-8142-40a0e7672fc2">
      <UserInfo>
        <DisplayName/>
        <AccountId xsi:nil="true"/>
        <AccountType/>
      </UserInfo>
    </DossierOwner>
    <lcf76f155ced4ddcb4097134ff3c332f xmlns="d05c71ba-8a32-47a9-9a94-a7849cd54ce5">
      <Terms xmlns="http://schemas.microsoft.com/office/infopath/2007/PartnerControls"/>
    </lcf76f155ced4ddcb4097134ff3c332f>
    <ContractExpirationDate xmlns="5a35d997-f817-42cb-8142-40a0e7672fc2" xsi:nil="true"/>
    <DossierStatus xmlns="5a35d997-f817-42cb-8142-40a0e7672fc2" xsi:nil="true"/>
    <TaxCatchAll xmlns="5a35d997-f817-42cb-8142-40a0e7672fc2" xsi:nil="true"/>
    <MailPreviewData xmlns="5a35d997-f817-42cb-8142-40a0e7672fc2" xsi:nil="true"/>
    <TaxCatchAllLabel xmlns="5a35d997-f817-42cb-8142-40a0e7672fc2" xsi:nil="true"/>
    <c74fc8ae3a684455a365ecb3219fd670 xmlns="5a35d997-f817-42cb-8142-40a0e7672fc2">
      <Terms xmlns="http://schemas.microsoft.com/office/infopath/2007/PartnerControls"/>
    </c74fc8ae3a684455a365ecb3219fd670>
    <iba86106afcf43e288d646426c40248a xmlns="5a35d997-f817-42cb-8142-40a0e7672fc2">
      <Terms xmlns="http://schemas.microsoft.com/office/infopath/2007/PartnerControls"/>
    </iba86106afcf43e288d646426c40248a>
    <ContractDate xmlns="5a35d997-f817-42cb-8142-40a0e7672fc2" xsi:nil="true"/>
    <_dlc_DocId xmlns="5a35d997-f817-42cb-8142-40a0e7672fc2">HPTZJFJ2Y7ZM-1245198798-29038</_dlc_DocId>
    <_dlc_DocIdUrl xmlns="5a35d997-f817-42cb-8142-40a0e7672fc2">
      <Url>https://allianzms.sharepoint.com/teams/SG0002-4846920/_layouts/15/DocIdRedir.aspx?ID=HPTZJFJ2Y7ZM-1245198798-29038</Url>
      <Description>HPTZJFJ2Y7ZM-1245198798-29038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676E5C33E304C916CA7823C78E7D6" ma:contentTypeVersion="82" ma:contentTypeDescription="Create a new document." ma:contentTypeScope="" ma:versionID="d5a4539e6ce2bbf79caa654879832dba">
  <xsd:schema xmlns:xsd="http://www.w3.org/2001/XMLSchema" xmlns:xs="http://www.w3.org/2001/XMLSchema" xmlns:p="http://schemas.microsoft.com/office/2006/metadata/properties" xmlns:ns2="5a35d997-f817-42cb-8142-40a0e7672fc2" xmlns:ns3="d05c71ba-8a32-47a9-9a94-a7849cd54ce5" targetNamespace="http://schemas.microsoft.com/office/2006/metadata/properties" ma:root="true" ma:fieldsID="496595fcd21b9550267d0cf5f335dcd4" ns2:_="" ns3:_="">
    <xsd:import namespace="5a35d997-f817-42cb-8142-40a0e7672fc2"/>
    <xsd:import namespace="d05c71ba-8a32-47a9-9a94-a7849cd54ce5"/>
    <xsd:element name="properties">
      <xsd:complexType>
        <xsd:sequence>
          <xsd:element name="documentManagement">
            <xsd:complexType>
              <xsd:all>
                <xsd:element ref="ns2:DossierStatus" minOccurs="0"/>
                <xsd:element ref="ns2:c74fc8ae3a684455a365ecb3219fd670" minOccurs="0"/>
                <xsd:element ref="ns2:TaxCatchAll" minOccurs="0"/>
                <xsd:element ref="ns2:TaxCatchAllLabel" minOccurs="0"/>
                <xsd:element ref="ns2:MailPreviewData" minOccurs="0"/>
                <xsd:element ref="ns2:iba86106afcf43e288d646426c40248a" minOccurs="0"/>
                <xsd:element ref="ns2:ContractDate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  <xsd:element ref="ns3:MediaServiceLocation" minOccurs="0"/>
                <xsd:element ref="ns2:DossierOwner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5d997-f817-42cb-8142-40a0e7672fc2" elementFormDefault="qualified">
    <xsd:import namespace="http://schemas.microsoft.com/office/2006/documentManagement/types"/>
    <xsd:import namespace="http://schemas.microsoft.com/office/infopath/2007/PartnerControls"/>
    <xsd:element name="DossierStatus" ma:index="8" nillable="true" ma:displayName="Dossier Status" ma:default="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74fc8ae3a684455a365ecb3219fd670" ma:index="9" nillable="true" ma:taxonomy="true" ma:internalName="c74fc8ae3a684455a365ecb3219fd670" ma:taxonomyFieldName="Document_Class" ma:displayName="Document Class" ma:readOnly="false" ma:fieldId="{c74fc8ae-3a68-4455-a365-ecb3219fd670}" ma:sspId="10820af1-e82f-496e-bbcb-d9502914b7b2" ma:termSetId="a8fe5516-3f25-4a18-9fe8-9ec61fcfeb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865819a0-5ed7-4129-ac46-107c0179fa02}" ma:internalName="TaxCatchAll" ma:readOnly="false" ma:showField="CatchAllData" ma:web="5a35d997-f817-42cb-8142-40a0e7672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865819a0-5ed7-4129-ac46-107c0179fa02}" ma:internalName="TaxCatchAllLabel" ma:readOnly="false" ma:showField="CatchAllDataLabel" ma:web="5a35d997-f817-42cb-8142-40a0e7672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3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iba86106afcf43e288d646426c40248a" ma:index="14" nillable="true" ma:taxonomy="true" ma:internalName="iba86106afcf43e288d646426c40248a" ma:taxonomyFieldName="Contract_Type" ma:displayName="Contract Type" ma:readOnly="false" ma:fieldId="{2ba86106-afcf-43e2-88d6-46426c40248a}" ma:sspId="10820af1-e82f-496e-bbcb-d9502914b7b2" ma:termSetId="70805c8f-f58a-429f-b5cb-62c5b6dc55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ractDate" ma:index="16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ContractExpirationDate" ma:index="17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DossierOwner" ma:index="33" nillable="true" ma:displayName="Dossier owner(s)" ma:description="Person(s) owning the dossier." ma:hidden="true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3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c71ba-8a32-47a9-9a94-a7849cd54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10820af1-e82f-496e-bbcb-d9502914b7b2" ContentTypeId="0x0101" PreviousValue="false"/>
</file>

<file path=customXml/itemProps1.xml><?xml version="1.0" encoding="utf-8"?>
<ds:datastoreItem xmlns:ds="http://schemas.openxmlformats.org/officeDocument/2006/customXml" ds:itemID="{320A676C-5720-402F-B41A-595A3FC7C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5FC914-623A-40F6-B1AC-35C3D315F012}">
  <ds:schemaRefs>
    <ds:schemaRef ds:uri="9f44ee37-7927-4af6-a6cc-14d630fdd59d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6ed5bd3-9018-45a3-93e7-08eb6efefa6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8323285-6E43-480A-A6DB-5319B3D33042}"/>
</file>

<file path=customXml/itemProps4.xml><?xml version="1.0" encoding="utf-8"?>
<ds:datastoreItem xmlns:ds="http://schemas.openxmlformats.org/officeDocument/2006/customXml" ds:itemID="{0FF226E6-5E70-4604-818F-80FA44C81D52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2426E6F8-2D19-412C-B426-05583E9EE8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Nov extraction (Final)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Teoh, Megan (Allianz SE Singapore Branch)</dc:creator>
  <cp:keywords/>
  <dc:description/>
  <cp:lastModifiedBy>Teoh, Megan (Allianz SE Singapore Branch)</cp:lastModifiedBy>
  <cp:revision/>
  <dcterms:created xsi:type="dcterms:W3CDTF">2025-03-28T07:09:33Z</dcterms:created>
  <dcterms:modified xsi:type="dcterms:W3CDTF">2025-12-30T03:14:57Z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0x010100857676E5C33E304C916CA7823C78E7D6</vt:lpwstr>
  </property>
  <property fmtid="{D5CDD505-2E9C-101B-9397-08002B2CF9AE}" pid="3" name="DossierDepartment">
    <vt:lpwstr/>
  </property>
  <property fmtid="{D5CDD505-2E9C-101B-9397-08002B2CF9AE}" pid="4" name="AllianzContractingParties">
    <vt:lpwstr/>
  </property>
  <property fmtid="{D5CDD505-2E9C-101B-9397-08002B2CF9AE}" pid="5" name="MediaServiceImageTags">
    <vt:lpwstr/>
  </property>
  <property fmtid="{D5CDD505-2E9C-101B-9397-08002B2CF9AE}" pid="6" name="ad602ca660b043e1949a21203602ac32">
    <vt:lpwstr/>
  </property>
  <property fmtid="{D5CDD505-2E9C-101B-9397-08002B2CF9AE}" pid="7" name="Document_Class">
    <vt:lpwstr/>
  </property>
  <property fmtid="{D5CDD505-2E9C-101B-9397-08002B2CF9AE}" pid="8" name="ba0f315e645c449a93dde8d378711a5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2025-03-28T07:09:49Z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6ba0e0af-c083-4c5e-abab-0e6b852e9f29</vt:lpwstr>
  </property>
  <property fmtid="{D5CDD505-2E9C-101B-9397-08002B2CF9AE}" pid="15" name="MSIP_Label_863bc15e-e7bf-41c1-bdb3-03882d8a2e2c_ContentBits">
    <vt:lpwstr>1</vt:lpwstr>
  </property>
  <property fmtid="{D5CDD505-2E9C-101B-9397-08002B2CF9AE}" pid="16" name="_AdHocReviewCycleID">
    <vt:i4>760225396</vt:i4>
  </property>
  <property fmtid="{D5CDD505-2E9C-101B-9397-08002B2CF9AE}" pid="17" name="_NewReviewCycle">
    <vt:lpwstr/>
  </property>
  <property fmtid="{D5CDD505-2E9C-101B-9397-08002B2CF9AE}" pid="18" name="_EmailSubject">
    <vt:lpwstr>AVM Reporting: New Dashboard for IS/IT Target for Cyber Attack Surface Management</vt:lpwstr>
  </property>
  <property fmtid="{D5CDD505-2E9C-101B-9397-08002B2CF9AE}" pid="19" name="_AuthorEmail">
    <vt:lpwstr>megan.teoh@allianz.com.sg</vt:lpwstr>
  </property>
  <property fmtid="{D5CDD505-2E9C-101B-9397-08002B2CF9AE}" pid="20" name="_AuthorEmailDisplayName">
    <vt:lpwstr>Teoh, Megan (Allianz SE Singapore Branch)</vt:lpwstr>
  </property>
  <property fmtid="{D5CDD505-2E9C-101B-9397-08002B2CF9AE}" pid="21" name="_PreviousAdHocReviewCycleID">
    <vt:i4>266030396</vt:i4>
  </property>
  <property fmtid="{D5CDD505-2E9C-101B-9397-08002B2CF9AE}" pid="22" name="_ReviewingToolsShownOnce">
    <vt:lpwstr/>
  </property>
  <property fmtid="{D5CDD505-2E9C-101B-9397-08002B2CF9AE}" pid="23" name="ld4844d8b12b443caccade3e65efcd53">
    <vt:lpwstr/>
  </property>
  <property fmtid="{D5CDD505-2E9C-101B-9397-08002B2CF9AE}" pid="24" name="b51d41af064047ddb0a5452d9adc2edd">
    <vt:lpwstr/>
  </property>
  <property fmtid="{D5CDD505-2E9C-101B-9397-08002B2CF9AE}" pid="25" name="_dlc_DocIdItemGuid">
    <vt:lpwstr>ada432a9-eb82-49bd-aee7-0f479cfef2ce</vt:lpwstr>
  </property>
  <property fmtid="{D5CDD505-2E9C-101B-9397-08002B2CF9AE}" pid="26" name="Contract_Type">
    <vt:lpwstr/>
  </property>
</Properties>
</file>